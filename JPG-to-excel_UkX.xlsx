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600" windowHeight="9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<sst xmlns="http://schemas.openxmlformats.org/spreadsheetml/2006/main" count="60" uniqueCount="54">
  <si>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Category</t>
  </si>
  <si>
    <t>Item</t>
  </si>
  <si>
    <t>Model</t>
  </si>
  <si>
    <t>Qty</t>
  </si>
  <si>
    <t>Price (BDT)</t>
  </si>
  <si>
    <t>Source</t>
  </si>
  <si>
    <t>Control</t>
  </si>
  <si>
    <t>Arduino Mega</t>
  </si>
  <si>
    <t>Clone 2560</t>
  </si>
  <si>
    <t>Techshop BD</t>
  </si>
  <si>
    <t>Ethernet Shield</t>
  </si>
  <si>
    <t>W5100</t>
  </si>
  <si>
    <t>Startech BD</t>
  </si>
  <si>
    <t>Power</t>
  </si>
  <si>
    <t>LiPo Battery**</t>
  </si>
  <si>
    <t>3S 2200mAh 30C</t>
  </si>
  <si>
    <t>Drone Bangladesh</t>
  </si>
  <si>
    <t>Balance Charger**</t>
  </si>
  <si>
    <t>Imax B3AC</t>
  </si>
  <si>
    <t>Daraz BD</t>
  </si>
  <si>
    <t>Buck Converter**</t>
  </si>
  <si>
    <t>LM2596 12V→ 5V</t>
  </si>
  <si>
    <t>Dhaka Electronics Market</t>
  </si>
  <si>
    <t>Motors</t>
  </si>
  <si>
    <t>Gear Motors (Vertical)</t>
  </si>
  <si>
    <t>12V 300RPM</t>
  </si>
  <si>
    <t>Gear Motors (Horizontal)</t>
  </si>
  <si>
    <t>Robotics BD</t>
  </si>
  <si>
    <t>L298N Motor Driver</t>
  </si>
  <si>
    <t>Sensors</t>
  </si>
  <si>
    <t>Depth Sensor</t>
  </si>
  <si>
    <t>MS5803-14BA</t>
  </si>
  <si>
    <t>RoboticsBD</t>
  </si>
  <si>
    <t>Turbidity sensor</t>
  </si>
  <si>
    <t>Camera</t>
  </si>
  <si>
    <t>Esp 32 camera module</t>
  </si>
  <si>
    <t>Mechanical</t>
  </si>
  <si>
    <t>PVC Pipe</t>
  </si>
  <si>
    <t>4-x50cm</t>
  </si>
  <si>
    <t>Local Hardware</t>
  </si>
  <si>
    <t>Propellers</t>
  </si>
  <si>
    <t>40mm Plastic</t>
  </si>
  <si>
    <t>Waterproof Sealant</t>
  </si>
  <si>
    <t>Silicone + Epoxy</t>
  </si>
  <si>
    <t>-</t>
  </si>
  <si>
    <t>Hardware Store</t>
  </si>
  <si>
    <t>Cables</t>
  </si>
  <si>
    <t>Ethernet Cable</t>
  </si>
  <si>
    <t>CAT5e 30m</t>
  </si>
  <si>
    <t>Computer Store</t>
  </si>
  <si>
    <t>Safety</t>
  </si>
  <si>
    <t>XT60 Connectors</t>
  </si>
  <si>
    <t>Pair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</si>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</sst>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Medium4">
    <tableStyle name="TableStylePreset1_Dark" pivot="0" count="7" xr9:uid="{28FDBD1A-FFE6-4757-B51A-567B165570C2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20" totalsRowShown="0">
  <autoFilter xmlns:etc="http://www.wps.cn/officeDocument/2017/etCustomData" ref="A1:F20" etc:filterBottomFollowUsedRange="0"/>
  <tableColumns count="6">
    <tableColumn id="1" name="Category" dataDxfId="0"/>
    <tableColumn id="2" name="Item" dataDxfId="1"/>
    <tableColumn id="3" name="Model" dataDxfId="2"/>
    <tableColumn id="4" name="Qty" dataDxfId="3"/>
    <tableColumn id="5" name="Price (BDT)" dataDxfId="4"/>
    <tableColumn id="6" name="Source" dataDxfId="5"/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E11" sqref="E11"/>
    </sheetView>
  </sheetViews>
  <sheetFormatPr defaultColWidth="9" defaultRowHeight="15.75" outlineLevelCol="5"/>
  <cols>
    <col min="1" max="1" width="14.25" customWidth="1"/>
    <col min="2" max="2" width="25.25" customWidth="1"/>
    <col min="3" max="3" width="22.625" customWidth="1"/>
    <col min="4" max="4" width="15.375" customWidth="1"/>
    <col min="5" max="5" width="15.625" customWidth="1"/>
    <col min="6" max="6" width="22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1</v>
      </c>
      <c r="E2" s="1">
        <v>1345</v>
      </c>
      <c r="F2" s="1" t="s">
        <v>9</v>
      </c>
    </row>
    <row r="3" spans="1:6">
      <c r="A3" s="1"/>
      <c r="B3" s="1" t="s">
        <v>10</v>
      </c>
      <c r="C3" s="1" t="s">
        <v>11</v>
      </c>
      <c r="D3" s="1">
        <v>1</v>
      </c>
      <c r="E3" s="1">
        <v>1090</v>
      </c>
      <c r="F3" s="1" t="s">
        <v>12</v>
      </c>
    </row>
    <row r="4" spans="1:6">
      <c r="A4" s="1" t="s">
        <v>13</v>
      </c>
      <c r="B4" s="1" t="s">
        <v>14</v>
      </c>
      <c r="C4" s="1" t="s">
        <v>15</v>
      </c>
      <c r="D4" s="1">
        <v>1</v>
      </c>
      <c r="E4" s="1">
        <v>600</v>
      </c>
      <c r="F4" s="1" t="s">
        <v>16</v>
      </c>
    </row>
    <row r="5" spans="1:6">
      <c r="A5" s="1"/>
      <c r="B5" s="1" t="s">
        <v>17</v>
      </c>
      <c r="C5" s="1" t="s">
        <v>18</v>
      </c>
      <c r="D5" s="1">
        <v>1</v>
      </c>
      <c r="E5" s="1">
        <v>400</v>
      </c>
      <c r="F5" s="1" t="s">
        <v>19</v>
      </c>
    </row>
    <row r="6" spans="1:6">
      <c r="A6" s="1"/>
      <c r="B6" s="1" t="s">
        <v>20</v>
      </c>
      <c r="C6" s="1" t="s">
        <v>21</v>
      </c>
      <c r="D6" s="1">
        <v>1</v>
      </c>
      <c r="E6" s="1">
        <v>80</v>
      </c>
      <c r="F6" s="1" t="s">
        <v>22</v>
      </c>
    </row>
    <row r="7" spans="1:6">
      <c r="A7" s="1" t="s">
        <v>23</v>
      </c>
      <c r="B7" s="1" t="s">
        <v>24</v>
      </c>
      <c r="C7" s="1" t="s">
        <v>25</v>
      </c>
      <c r="D7" s="1">
        <v>1</v>
      </c>
      <c r="E7" s="1">
        <v>350</v>
      </c>
      <c r="F7" s="1" t="s">
        <v>19</v>
      </c>
    </row>
    <row r="8" spans="1:6">
      <c r="A8" s="1"/>
      <c r="B8" s="1" t="s">
        <v>26</v>
      </c>
      <c r="C8" s="1" t="s">
        <v>25</v>
      </c>
      <c r="D8" s="1">
        <v>2</v>
      </c>
      <c r="E8" s="1">
        <v>700</v>
      </c>
      <c r="F8" s="1" t="s">
        <v>27</v>
      </c>
    </row>
    <row r="9" spans="1:6">
      <c r="A9" s="1"/>
      <c r="B9" s="1" t="s">
        <v>28</v>
      </c>
      <c r="C9" s="1"/>
      <c r="D9" s="1">
        <v>3</v>
      </c>
      <c r="E9" s="1">
        <f>180*3</f>
        <v>540</v>
      </c>
      <c r="F9" s="1" t="s">
        <v>19</v>
      </c>
    </row>
    <row r="10" spans="1:6">
      <c r="A10" s="2" t="s">
        <v>29</v>
      </c>
      <c r="B10" s="2" t="s">
        <v>30</v>
      </c>
      <c r="C10" s="2" t="s">
        <v>31</v>
      </c>
      <c r="D10" s="2">
        <v>1</v>
      </c>
      <c r="E10" s="2">
        <v>600</v>
      </c>
      <c r="F10" s="2" t="s">
        <v>32</v>
      </c>
    </row>
    <row r="11" spans="1:6">
      <c r="A11" s="2"/>
      <c r="B11" s="2" t="s">
        <v>33</v>
      </c>
      <c r="C11" s="2"/>
      <c r="D11" s="2">
        <v>1</v>
      </c>
      <c r="E11" s="2">
        <v>1400</v>
      </c>
      <c r="F11" s="2"/>
    </row>
    <row r="12" spans="1:6">
      <c r="A12" s="2"/>
      <c r="B12" s="2" t="s">
        <v>34</v>
      </c>
      <c r="C12" s="2" t="s">
        <v>35</v>
      </c>
      <c r="D12" s="2">
        <v>1</v>
      </c>
      <c r="E12" s="2">
        <v>500</v>
      </c>
      <c r="F12" s="2" t="s">
        <v>19</v>
      </c>
    </row>
    <row r="13" spans="1:6">
      <c r="A13" s="2" t="s">
        <v>36</v>
      </c>
      <c r="B13" s="2" t="s">
        <v>37</v>
      </c>
      <c r="C13" s="2" t="s">
        <v>38</v>
      </c>
      <c r="D13" s="2">
        <v>1</v>
      </c>
      <c r="E13" s="2">
        <v>200</v>
      </c>
      <c r="F13" s="2" t="s">
        <v>39</v>
      </c>
    </row>
    <row r="14" spans="1:6">
      <c r="A14" s="2"/>
      <c r="B14" s="2" t="s">
        <v>40</v>
      </c>
      <c r="C14" s="2" t="s">
        <v>41</v>
      </c>
      <c r="D14" s="2">
        <v>3</v>
      </c>
      <c r="E14" s="2">
        <v>450</v>
      </c>
      <c r="F14" s="2" t="s">
        <v>19</v>
      </c>
    </row>
    <row r="15" spans="1:6">
      <c r="A15" s="2"/>
      <c r="B15" s="2" t="s">
        <v>42</v>
      </c>
      <c r="C15" s="2" t="s">
        <v>43</v>
      </c>
      <c r="D15" s="2" t="s">
        <v>44</v>
      </c>
      <c r="E15" s="2">
        <v>300</v>
      </c>
      <c r="F15" s="2" t="s">
        <v>45</v>
      </c>
    </row>
    <row r="16" spans="1:6">
      <c r="A16" s="2" t="s">
        <v>46</v>
      </c>
      <c r="B16" s="2" t="s">
        <v>47</v>
      </c>
      <c r="C16" s="2" t="s">
        <v>48</v>
      </c>
      <c r="D16" s="2">
        <v>1</v>
      </c>
      <c r="E16" s="2">
        <v>450</v>
      </c>
      <c r="F16" s="2" t="s">
        <v>49</v>
      </c>
    </row>
    <row r="17" spans="1:6">
      <c r="A17" s="2" t="s">
        <v>50</v>
      </c>
      <c r="B17" s="2"/>
      <c r="C17" s="2"/>
      <c r="D17" s="2"/>
      <c r="E17" s="2"/>
      <c r="F17" s="2"/>
    </row>
    <row r="18" spans="1:6">
      <c r="A18" s="2"/>
      <c r="B18" s="2" t="s">
        <v>51</v>
      </c>
      <c r="C18" s="2" t="s">
        <v>52</v>
      </c>
      <c r="D18" s="2">
        <v>1</v>
      </c>
      <c r="E18" s="2">
        <v>60</v>
      </c>
      <c r="F18" s="2" t="s">
        <v>19</v>
      </c>
    </row>
    <row r="19" spans="1:6">
      <c r="A19" s="2"/>
      <c r="B19" s="2"/>
      <c r="C19" s="2"/>
      <c r="D19" s="2"/>
      <c r="E19" s="2"/>
      <c r="F19" s="2"/>
    </row>
    <row r="20" spans="1:6">
      <c r="A20" s="2" t="s">
        <v>53</v>
      </c>
      <c r="B20" s="2"/>
      <c r="C20" s="2"/>
      <c r="D20" s="2"/>
      <c r="E20" s="2">
        <f>SUM(E2:E18)</f>
        <v>9065</v>
      </c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</sheetData>
  <pageMargins left="0.75" right="0.75" top="1" bottom="1" header="0.5" footer="0.5"/>
  <headerFooter/>
  <ignoredErrors>
    <ignoredError sqref="F9 A9:C9 A8:F8 F7 A6:A7 A3:F3 A4:A5 C4:F6 F2 A2:D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created xsi:type="dcterms:W3CDTF">2025-08-12T12:05:00Z</dcterms:created>
  <dcterms:modified xsi:type="dcterms:W3CDTF">2025-08-14T05:48:38Z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03DE6302337C4096A3DE8D0057ED7A16_12</vt:lpwstr>
  </property>
</Properties>
</file>